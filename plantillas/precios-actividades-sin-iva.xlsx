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  <sheet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D816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8" customWidth="1" min="5" max="5"/>
    <col width="22" customWidth="1" min="6" max="6"/>
    <col width="22" customWidth="1" min="7" max="7"/>
  </cols>
  <sheetData>
    <row r="1">
      <c r="A1" s="1" t="inlineStr">
        <is>
          <t>Actividad</t>
        </is>
      </c>
      <c r="B1" s="1" t="inlineStr">
        <is>
          <t>Costo fijo (USD)</t>
        </is>
      </c>
      <c r="C1" s="1" t="inlineStr">
        <is>
          <t>Costo guía (USD)</t>
        </is>
      </c>
      <c r="D1" s="1" t="inlineStr">
        <is>
          <t>Margen deseado</t>
        </is>
      </c>
      <c r="E1" s="1" t="inlineStr">
        <is>
          <t>Comisión Handy</t>
        </is>
      </c>
      <c r="F1" s="1" t="inlineStr">
        <is>
          <t>Precio final sugerido (USD)</t>
        </is>
      </c>
      <c r="G1" s="1" t="inlineStr">
        <is>
          <t>Ganancia estimada (USD)</t>
        </is>
      </c>
    </row>
    <row r="2">
      <c r="A2" s="2" t="inlineStr">
        <is>
          <t>Tour Guiado Español</t>
        </is>
      </c>
      <c r="B2" s="3" t="n">
        <v>0</v>
      </c>
      <c r="C2" s="3" t="n">
        <v>7</v>
      </c>
      <c r="D2" s="4" t="n">
        <v>0.15</v>
      </c>
      <c r="E2" s="4" t="n">
        <v>0.07000000000000001</v>
      </c>
      <c r="F2" s="3">
        <f>(B2+C2)*(1+D2)/(1-E2)</f>
        <v/>
      </c>
      <c r="G2" s="3">
        <f>F2*(1-E2)-(B2+C2)</f>
        <v/>
      </c>
    </row>
    <row r="3">
      <c r="A3" s="2" t="inlineStr">
        <is>
          <t>Tour Guiado Inglés</t>
        </is>
      </c>
      <c r="B3" s="3" t="n">
        <v>0</v>
      </c>
      <c r="C3" s="3" t="n">
        <v>12</v>
      </c>
      <c r="D3" s="4" t="n">
        <v>0.15</v>
      </c>
      <c r="E3" s="4" t="n">
        <v>0.07000000000000001</v>
      </c>
      <c r="F3" s="3">
        <f>(B3+C3)*(1+D3)/(1-E3)</f>
        <v/>
      </c>
      <c r="G3" s="3">
        <f>F3*(1-E3)-(B3+C3)</f>
        <v/>
      </c>
    </row>
    <row r="4">
      <c r="A4" s="2" t="inlineStr">
        <is>
          <t>Tour Guiado Portugués</t>
        </is>
      </c>
      <c r="B4" s="3" t="n">
        <v>0</v>
      </c>
      <c r="C4" s="3" t="n">
        <v>12</v>
      </c>
      <c r="D4" s="4" t="n">
        <v>0.15</v>
      </c>
      <c r="E4" s="4" t="n">
        <v>0.07000000000000001</v>
      </c>
      <c r="F4" s="3">
        <f>(B4+C4)*(1+D4)/(1-E4)</f>
        <v/>
      </c>
      <c r="G4" s="3">
        <f>F4*(1-E4)-(B4+C4)</f>
        <v/>
      </c>
    </row>
    <row r="5">
      <c r="A5" s="2" t="inlineStr">
        <is>
          <t>Tour Guiado Bici</t>
        </is>
      </c>
      <c r="B5" s="3" t="n">
        <v>0</v>
      </c>
      <c r="C5" s="3" t="n">
        <v>12</v>
      </c>
      <c r="D5" s="4" t="n">
        <v>0.15</v>
      </c>
      <c r="E5" s="4" t="n">
        <v>0.07000000000000001</v>
      </c>
      <c r="F5" s="3">
        <f>(B5+C5)*(1+D5)/(1-E5)</f>
        <v/>
      </c>
      <c r="G5" s="3">
        <f>F5*(1-E5)-(B5+C5)</f>
        <v/>
      </c>
    </row>
    <row r="6">
      <c r="A6" s="2" t="inlineStr">
        <is>
          <t>Jack y Lupa</t>
        </is>
      </c>
      <c r="B6" s="3" t="n">
        <v>5</v>
      </c>
      <c r="C6" s="3" t="n">
        <v>0</v>
      </c>
      <c r="D6" s="4" t="n">
        <v>0.15</v>
      </c>
      <c r="E6" s="4" t="n">
        <v>0.07000000000000001</v>
      </c>
      <c r="F6" s="3">
        <f>(B6+C6)*(1+D6)/(1-E6)</f>
        <v/>
      </c>
      <c r="G6" s="3">
        <f>F6*(1-E6)-(B6+C6)</f>
        <v/>
      </c>
    </row>
    <row r="7">
      <c r="A7" s="2" t="inlineStr">
        <is>
          <t>Refugio + Toro + Traslado</t>
        </is>
      </c>
      <c r="B7" s="3" t="n">
        <v>155</v>
      </c>
      <c r="C7" s="3" t="n">
        <v>0</v>
      </c>
      <c r="D7" s="4" t="n">
        <v>0.15</v>
      </c>
      <c r="E7" s="4" t="n">
        <v>0.07000000000000001</v>
      </c>
      <c r="F7" s="3">
        <f>(B7+C7)*(1+D7)/(1-E7)</f>
        <v/>
      </c>
      <c r="G7" s="3">
        <f>F7*(1-E7)-(B7+C7)</f>
        <v/>
      </c>
    </row>
    <row r="8">
      <c r="A8" s="2" t="inlineStr">
        <is>
          <t>Bruma</t>
        </is>
      </c>
      <c r="B8" s="3" t="n">
        <v>120</v>
      </c>
      <c r="C8" s="3" t="n">
        <v>0</v>
      </c>
      <c r="D8" s="4" t="n">
        <v>0.1</v>
      </c>
      <c r="E8" s="4" t="n">
        <v>0.07000000000000001</v>
      </c>
      <c r="F8" s="3">
        <f>(B8+C8)*(1+D8)/(1-E8)</f>
        <v/>
      </c>
      <c r="G8" s="3">
        <f>F8*(1-E8)-(B8+C8)</f>
        <v/>
      </c>
    </row>
    <row r="9">
      <c r="A9" s="2" t="inlineStr">
        <is>
          <t>Misión + SIO</t>
        </is>
      </c>
      <c r="B9" s="3" t="n">
        <v>40</v>
      </c>
      <c r="C9" s="3" t="n">
        <v>0</v>
      </c>
      <c r="D9" s="4" t="n">
        <v>0.15</v>
      </c>
      <c r="E9" s="4" t="n">
        <v>0.07000000000000001</v>
      </c>
      <c r="F9" s="3">
        <f>(B9+C9)*(1+D9)/(1-E9)</f>
        <v/>
      </c>
      <c r="G9" s="3">
        <f>F9*(1-E9)-(B9+C9)</f>
        <v/>
      </c>
    </row>
    <row r="10">
      <c r="A10" s="2" t="inlineStr">
        <is>
          <t>Asado + Bote p/2</t>
        </is>
      </c>
      <c r="B10" s="3" t="n">
        <v>220</v>
      </c>
      <c r="C10" s="3" t="n">
        <v>0</v>
      </c>
      <c r="D10" s="4" t="n">
        <v>0.15</v>
      </c>
      <c r="E10" s="4" t="n">
        <v>0.07000000000000001</v>
      </c>
      <c r="F10" s="3">
        <f>(B10+C10)*(1+D10)/(1-E10)</f>
        <v/>
      </c>
      <c r="G10" s="3">
        <f>F10*(1-E10)-(B10+C10)</f>
        <v/>
      </c>
    </row>
    <row r="11">
      <c r="A11" s="2" t="inlineStr">
        <is>
          <t>Asado + Bote p/1</t>
        </is>
      </c>
      <c r="B11" s="3" t="n">
        <v>110</v>
      </c>
      <c r="C11" s="3" t="n">
        <v>0</v>
      </c>
      <c r="D11" s="4" t="n">
        <v>0.15</v>
      </c>
      <c r="E11" s="4" t="n">
        <v>0.07000000000000001</v>
      </c>
      <c r="F11" s="3">
        <f>(B11+C11)*(1+D11)/(1-E11)</f>
        <v/>
      </c>
      <c r="G11" s="3">
        <f>F11*(1-E11)-(B11+C11)</f>
        <v/>
      </c>
    </row>
    <row r="12">
      <c r="A12" s="2" t="inlineStr">
        <is>
          <t>Ejemplo costo alto (editar nombre)</t>
        </is>
      </c>
      <c r="B12" s="3" t="n">
        <v>850</v>
      </c>
      <c r="C12" s="3" t="n">
        <v>0</v>
      </c>
      <c r="D12" s="4" t="n">
        <v>0.15</v>
      </c>
      <c r="E12" s="4" t="n">
        <v>0.07000000000000001</v>
      </c>
      <c r="F12" s="3">
        <f>(B12+C12)*(1+D12)/(1-E12)</f>
        <v/>
      </c>
      <c r="G12" s="3">
        <f>F12*(1-E12)-(B12+C12)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Plantilla de precios — actividades turísticas exoneradas de IVA</t>
        </is>
      </c>
    </row>
    <row r="2">
      <c r="A2" s="6" t="n"/>
    </row>
    <row r="3">
      <c r="A3" s="6" t="inlineStr">
        <is>
          <t>Modelo: Precio sugerido = (Costo fijo + Costo guía) × (1 + Margen) ÷ (1 − Comisión Handy). Si no hay guía, dejá Costo guía vacío o 0.</t>
        </is>
      </c>
    </row>
    <row r="4">
      <c r="A4" s="6" t="n"/>
    </row>
    <row r="5">
      <c r="A5" s="6" t="inlineStr">
        <is>
          <t>Ganancia estimada = Precio × (1 − Comisión) − (Costo fijo + Costo guía).</t>
        </is>
      </c>
    </row>
    <row r="6">
      <c r="A6" s="6" t="n"/>
    </row>
    <row r="7">
      <c r="A7" s="6" t="inlineStr">
        <is>
          <t>Ajustá porcentajes como decimales (15% = 0,15) o usá formato Porcentaje en Excel.</t>
        </is>
      </c>
    </row>
    <row r="8">
      <c r="A8" s="6" t="n"/>
    </row>
    <row r="9">
      <c r="A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2026-04-23T00:47:50Z</dcterms:created>
  <dcterms:modified xsi:type="dcterms:W3CDTF">2026-04-23T00:47:50Z</dcterms:modified>
</cp:coreProperties>
</file>